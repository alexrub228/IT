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96C27B82-3910-43D9-951C-FE096E6980F0}" xr6:coauthVersionLast="45" xr6:coauthVersionMax="45" xr10:uidLastSave="{00000000-0000-0000-0000-000000000000}"/>
  <bookViews>
    <workbookView xWindow="-120" yWindow="-120" windowWidth="51840" windowHeight="21240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9" i="1" l="1"/>
  <c r="D7" i="1"/>
  <c r="E3" i="2" l="1"/>
  <c r="G3" i="2" s="1"/>
  <c r="E4" i="2"/>
  <c r="G4" i="2" s="1"/>
  <c r="E5" i="2"/>
  <c r="G5" i="2" s="1"/>
  <c r="E2" i="2"/>
  <c r="F2" i="2" s="1"/>
  <c r="B7" i="1"/>
  <c r="J2" i="1"/>
  <c r="K2" i="1" s="1"/>
  <c r="D2" i="1"/>
  <c r="E2" i="1" s="1"/>
  <c r="D3" i="1"/>
  <c r="E3" i="1" s="1"/>
  <c r="D4" i="1"/>
  <c r="D5" i="1"/>
  <c r="E5" i="1" s="1"/>
  <c r="D6" i="1"/>
  <c r="E6" i="1" s="1"/>
  <c r="E4" i="1" l="1"/>
  <c r="E7" i="1" s="1"/>
  <c r="G2" i="2"/>
  <c r="G6" i="2" s="1"/>
  <c r="F5" i="2"/>
  <c r="F4" i="2"/>
  <c r="F3" i="2"/>
  <c r="F6" i="2" s="1"/>
  <c r="F2" i="1"/>
  <c r="F4" i="1"/>
  <c r="F3" i="1"/>
  <c r="F6" i="1"/>
  <c r="F5" i="1"/>
  <c r="B11" i="1" l="1"/>
  <c r="B10" i="1"/>
  <c r="F7" i="1"/>
</calcChain>
</file>

<file path=xl/sharedStrings.xml><?xml version="1.0" encoding="utf-8"?>
<sst xmlns="http://schemas.openxmlformats.org/spreadsheetml/2006/main" count="32" uniqueCount="31">
  <si>
    <t>ФИО сотрудника</t>
  </si>
  <si>
    <t>Оклад (руб.)</t>
  </si>
  <si>
    <t>Премия (%)</t>
  </si>
  <si>
    <t>Премия (руб.)</t>
  </si>
  <si>
    <t>НДФЛ (13%)</t>
  </si>
  <si>
    <t>К выдаче</t>
  </si>
  <si>
    <t>Иванов И.И.</t>
  </si>
  <si>
    <t>Петров П.П.</t>
  </si>
  <si>
    <t>Сидоров С.С.</t>
  </si>
  <si>
    <t>Кузнецова К.К.</t>
  </si>
  <si>
    <t>Смирнов С.С.</t>
  </si>
  <si>
    <t>№ п/п</t>
  </si>
  <si>
    <t>ИТОГО</t>
  </si>
  <si>
    <t>Средняя зарплата</t>
  </si>
  <si>
    <t>Максимум</t>
  </si>
  <si>
    <t>Минимум</t>
  </si>
  <si>
    <t>Товар</t>
  </si>
  <si>
    <t>Ноутбук</t>
  </si>
  <si>
    <t>Монитор</t>
  </si>
  <si>
    <t>Клавиатура</t>
  </si>
  <si>
    <t>Мышь</t>
  </si>
  <si>
    <t>Цена за ед.</t>
  </si>
  <si>
    <t>Кол-во</t>
  </si>
  <si>
    <t>Скидка %</t>
  </si>
  <si>
    <t>Стоимость</t>
  </si>
  <si>
    <t>Итого со скидкой</t>
  </si>
  <si>
    <t>Ставка НДС</t>
  </si>
  <si>
    <t>Сумма НДС</t>
  </si>
  <si>
    <t>0,2</t>
  </si>
  <si>
    <t>Коэффициент</t>
  </si>
  <si>
    <t>Ставка НДФЛ: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</si>
</sst>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0" fontId="0" fillId="0" borderId="0" xfId="0" applyNumberFormat="1"/>
    <xf numFmtId="0" fontId="0" fillId="3" borderId="0" xfId="0" applyFill="1"/>
    <xf numFmtId="0" fontId="2" fillId="0" borderId="0" xfId="0" applyNumberFormat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0" xfId="0" applyNumberFormat="1"/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C11" sqref="C11"/>
    </sheetView>
  </sheetViews>
  <sheetFormatPr defaultRowHeight="15" x14ac:dyDescent="0.25"/>
  <cols>
    <col min="1" max="1" width="16" customWidth="1"/>
    <col min="2" max="2" width="12" style="4" customWidth="1"/>
    <col min="3" max="3" width="10.7109375" customWidth="1"/>
    <col min="4" max="4" width="12.42578125" style="4" customWidth="1"/>
    <col min="5" max="5" width="11.42578125" style="4" customWidth="1"/>
    <col min="6" max="6" width="13" style="4" customWidth="1"/>
    <col min="8" max="8" width="12.28515625" customWidth="1"/>
    <col min="9" max="9" width="11.7109375" customWidth="1"/>
    <col min="10" max="10" width="10.28515625" bestFit="1" customWidth="1"/>
    <col min="11" max="11" width="13.28515625" customWidth="1"/>
  </cols>
  <sheetData>
    <row r="1" spans="1:11" x14ac:dyDescent="0.25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11</v>
      </c>
      <c r="H1" s="3" t="s">
        <v>30</v>
      </c>
      <c r="I1" s="3" t="s">
        <v>29</v>
      </c>
    </row>
    <row r="2" spans="1:11" x14ac:dyDescent="0.25">
      <c r="A2" t="s">
        <v>6</v>
      </c>
      <c r="B2" s="4">
        <v>50000</v>
      </c>
      <c r="C2" s="5">
        <v>20</v>
      </c>
      <c r="D2" s="4">
        <f>B2*C2/100</f>
        <v>10000</v>
      </c>
      <c r="E2" s="4">
        <f>(B2+D2)*$H$2</f>
        <v>9000</v>
      </c>
      <c r="F2" s="4">
        <f>B2+D2-E2</f>
        <v>51000</v>
      </c>
      <c r="G2">
        <v>1</v>
      </c>
      <c r="H2" s="6">
        <v>0.15</v>
      </c>
      <c r="I2">
        <v>1.5</v>
      </c>
      <c r="J2" s="4">
        <f>B2*I$2</f>
        <v>75000</v>
      </c>
      <c r="K2" s="4">
        <f>C2*J$2</f>
        <v>1500000</v>
      </c>
    </row>
    <row r="3" spans="1:11" x14ac:dyDescent="0.25">
      <c r="A3" t="s">
        <v>7</v>
      </c>
      <c r="B3" s="4">
        <v>45000</v>
      </c>
      <c r="C3" s="5">
        <v>15</v>
      </c>
      <c r="D3" s="4">
        <f t="shared" ref="D3:D6" si="0">B3*C3/100</f>
        <v>6750</v>
      </c>
      <c r="E3" s="4">
        <f t="shared" ref="E3:E6" si="1">(B3+D3)*$H$2</f>
        <v>7762.5</v>
      </c>
      <c r="F3" s="4">
        <f t="shared" ref="F3:F6" si="2">B3+D3-E3</f>
        <v>43987.5</v>
      </c>
      <c r="G3">
        <v>2</v>
      </c>
    </row>
    <row r="4" spans="1:11" x14ac:dyDescent="0.25">
      <c r="A4" t="s">
        <v>8</v>
      </c>
      <c r="B4" s="4">
        <v>62000</v>
      </c>
      <c r="C4" s="5">
        <v>25</v>
      </c>
      <c r="D4" s="4">
        <f t="shared" si="0"/>
        <v>15500</v>
      </c>
      <c r="E4" s="4">
        <f t="shared" si="1"/>
        <v>11625</v>
      </c>
      <c r="F4" s="4">
        <f t="shared" si="2"/>
        <v>65875</v>
      </c>
      <c r="G4">
        <v>3</v>
      </c>
    </row>
    <row r="5" spans="1:11" x14ac:dyDescent="0.25">
      <c r="A5" t="s">
        <v>9</v>
      </c>
      <c r="B5" s="4">
        <v>55000</v>
      </c>
      <c r="C5" s="5">
        <v>10</v>
      </c>
      <c r="D5" s="4">
        <f t="shared" si="0"/>
        <v>5500</v>
      </c>
      <c r="E5" s="4">
        <f t="shared" si="1"/>
        <v>9075</v>
      </c>
      <c r="F5" s="4">
        <f t="shared" si="2"/>
        <v>51425</v>
      </c>
      <c r="G5">
        <v>4</v>
      </c>
    </row>
    <row r="6" spans="1:11" x14ac:dyDescent="0.25">
      <c r="A6" t="s">
        <v>10</v>
      </c>
      <c r="B6" s="4">
        <v>40000</v>
      </c>
      <c r="C6" s="5">
        <v>30</v>
      </c>
      <c r="D6" s="4">
        <f t="shared" si="0"/>
        <v>12000</v>
      </c>
      <c r="E6" s="4">
        <f t="shared" si="1"/>
        <v>7800</v>
      </c>
      <c r="F6" s="4">
        <f t="shared" si="2"/>
        <v>44200</v>
      </c>
      <c r="G6">
        <v>5</v>
      </c>
    </row>
    <row r="7" spans="1:11" x14ac:dyDescent="0.25">
      <c r="A7" s="7" t="s">
        <v>12</v>
      </c>
      <c r="B7" s="4">
        <f>SUM(B2:B6)</f>
        <v>252000</v>
      </c>
      <c r="C7" s="4"/>
      <c r="D7" s="4">
        <f>SUM(D2:D6)</f>
        <v>49750</v>
      </c>
      <c r="E7" s="4">
        <f t="shared" ref="C7:F7" si="3">SUM(E2:E6)</f>
        <v>45262.5</v>
      </c>
      <c r="F7" s="4">
        <f t="shared" si="3"/>
        <v>256487.5</v>
      </c>
      <c r="G7" s="5"/>
      <c r="H7" s="5"/>
      <c r="I7" s="5"/>
      <c r="J7" s="5"/>
      <c r="K7" s="5"/>
    </row>
    <row r="9" spans="1:11" x14ac:dyDescent="0.25">
      <c r="A9" t="s">
        <v>13</v>
      </c>
      <c r="B9" s="4">
        <f>AVERAGE(F2:F6)</f>
        <v>51297.5</v>
      </c>
    </row>
    <row r="10" spans="1:11" x14ac:dyDescent="0.25">
      <c r="A10" t="s">
        <v>14</v>
      </c>
      <c r="B10" s="4">
        <f>MAX(F2:F6)</f>
        <v>65875</v>
      </c>
    </row>
    <row r="11" spans="1:11" x14ac:dyDescent="0.25">
      <c r="A11" t="s">
        <v>15</v>
      </c>
      <c r="B11" s="4">
        <f>MIN(F2:F6)</f>
        <v>43987.5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>
      <selection activeCell="W6" sqref="W6"/>
    </sheetView>
  </sheetViews>
  <sheetFormatPr defaultRowHeight="15" x14ac:dyDescent="0.25"/>
  <cols>
    <col min="1" max="1" width="11.7109375" customWidth="1"/>
    <col min="2" max="2" width="11.28515625" customWidth="1"/>
    <col min="3" max="3" width="4.5703125" customWidth="1"/>
    <col min="4" max="4" width="7.7109375" style="10" customWidth="1"/>
    <col min="5" max="5" width="12.7109375" customWidth="1"/>
    <col min="6" max="6" width="11.28515625" bestFit="1" customWidth="1"/>
    <col min="7" max="7" width="13.7109375" customWidth="1"/>
  </cols>
  <sheetData>
    <row r="1" spans="1:9" ht="30" x14ac:dyDescent="0.25">
      <c r="A1" s="12" t="s">
        <v>16</v>
      </c>
      <c r="B1" s="13" t="s">
        <v>21</v>
      </c>
      <c r="C1" s="13" t="s">
        <v>22</v>
      </c>
      <c r="D1" s="13" t="s">
        <v>23</v>
      </c>
      <c r="E1" s="12" t="s">
        <v>24</v>
      </c>
      <c r="F1" s="13" t="s">
        <v>25</v>
      </c>
      <c r="G1" s="13" t="s">
        <v>27</v>
      </c>
      <c r="H1" s="13" t="s">
        <v>26</v>
      </c>
      <c r="I1" s="10"/>
    </row>
    <row r="2" spans="1:9" x14ac:dyDescent="0.25">
      <c r="A2" t="s">
        <v>17</v>
      </c>
      <c r="B2" s="14">
        <v>45000</v>
      </c>
      <c r="C2" s="8">
        <v>5</v>
      </c>
      <c r="D2" s="9">
        <v>5</v>
      </c>
      <c r="E2" s="14">
        <f>B2*C2</f>
        <v>225000</v>
      </c>
      <c r="F2" s="14">
        <f>E2*(1-D2/100)</f>
        <v>213750</v>
      </c>
      <c r="G2" s="14">
        <f>E2*$H$2</f>
        <v>45000</v>
      </c>
      <c r="H2" s="15" t="s">
        <v>28</v>
      </c>
      <c r="I2" s="11"/>
    </row>
    <row r="3" spans="1:9" x14ac:dyDescent="0.25">
      <c r="A3" t="s">
        <v>18</v>
      </c>
      <c r="B3" s="14">
        <v>18000</v>
      </c>
      <c r="C3" s="8">
        <v>10</v>
      </c>
      <c r="D3" s="9">
        <v>3</v>
      </c>
      <c r="E3" s="14">
        <f t="shared" ref="E3:E5" si="0">B3*C3</f>
        <v>180000</v>
      </c>
      <c r="F3" s="14">
        <f t="shared" ref="F3:F5" si="1">E3*(1-D3/100)</f>
        <v>174600</v>
      </c>
      <c r="G3" s="14">
        <f t="shared" ref="G3:G5" si="2">E3*$H$2</f>
        <v>36000</v>
      </c>
      <c r="H3" s="8"/>
    </row>
    <row r="4" spans="1:9" x14ac:dyDescent="0.25">
      <c r="A4" t="s">
        <v>19</v>
      </c>
      <c r="B4" s="14">
        <v>1500</v>
      </c>
      <c r="C4" s="8">
        <v>25</v>
      </c>
      <c r="D4" s="9">
        <v>10</v>
      </c>
      <c r="E4" s="14">
        <f t="shared" si="0"/>
        <v>37500</v>
      </c>
      <c r="F4" s="14">
        <f t="shared" si="1"/>
        <v>33750</v>
      </c>
      <c r="G4" s="14">
        <f t="shared" si="2"/>
        <v>7500</v>
      </c>
      <c r="H4" s="8"/>
    </row>
    <row r="5" spans="1:9" x14ac:dyDescent="0.25">
      <c r="A5" t="s">
        <v>20</v>
      </c>
      <c r="B5" s="14">
        <v>800</v>
      </c>
      <c r="C5" s="8">
        <v>30</v>
      </c>
      <c r="D5" s="9">
        <v>7</v>
      </c>
      <c r="E5" s="14">
        <f t="shared" si="0"/>
        <v>24000</v>
      </c>
      <c r="F5" s="14">
        <f t="shared" si="1"/>
        <v>22320</v>
      </c>
      <c r="G5" s="14">
        <f t="shared" si="2"/>
        <v>4800</v>
      </c>
      <c r="H5" s="8"/>
    </row>
    <row r="6" spans="1:9" ht="13.9" customHeight="1" x14ac:dyDescent="0.25">
      <c r="A6" s="1" t="s">
        <v>12</v>
      </c>
      <c r="B6" s="8"/>
      <c r="C6" s="8"/>
      <c r="D6" s="9"/>
      <c r="E6" s="16"/>
      <c r="F6" s="14">
        <f>SUM(F2:F5)</f>
        <v>444420</v>
      </c>
      <c r="G6" s="14">
        <f>SUM(G2:G5)</f>
        <v>93300</v>
      </c>
      <c r="H6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2026-09-30T09:40:28Z</dcterms:modified>
</cp:coreProperties>
</file>